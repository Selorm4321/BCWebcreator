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⚙ Rates &amp; Assumptions" sheetId="1" state="visible" r:id="rId3"/>
    <sheet name="🏷 Decal Calculator" sheetId="2" state="visible" r:id="rId4"/>
    <sheet name="👕 Shirt Calculator" sheetId="3" state="visible" r:id="rId5"/>
    <sheet name="💰 Quick Price Refer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<sst xmlns="http://schemas.openxmlformats.org/spreadsheetml/2006/main" count="252" uniqueCount="231">
  <si>
    <t xml:space="preserve">BC Web Creator — Cost &amp; Pricing Assumptions</t>
  </si>
  <si>
    <t xml:space="preserve">Blue cells = inputs you can change  |  All prices in CAD</t>
  </si>
  <si>
    <t xml:space="preserve">⏱  YOUR LABOUR &amp; TIME RATES</t>
  </si>
  <si>
    <t xml:space="preserve">Your hourly rate (target)</t>
  </si>
  <si>
    <t xml:space="preserve">What you want to earn per hour</t>
  </si>
  <si>
    <t xml:space="preserve">Design/prep time — simple logo (min)</t>
  </si>
  <si>
    <t xml:space="preserve">Minutes to prep a clean vector file</t>
  </si>
  <si>
    <t xml:space="preserve">Design/prep time — complex logo (min)</t>
  </si>
  <si>
    <t xml:space="preserve">Minutes for intricate designs or conversions</t>
  </si>
  <si>
    <t xml:space="preserve">Cricut cut time per decal (min)</t>
  </si>
  <si>
    <t xml:space="preserve">Average cut time for a 4" decal</t>
  </si>
  <si>
    <t xml:space="preserve">Weeding time — simple decal (min)</t>
  </si>
  <si>
    <t xml:space="preserve">Time to weed clean designs</t>
  </si>
  <si>
    <t xml:space="preserve">Weeding time — complex decal (min)</t>
  </si>
  <si>
    <t xml:space="preserve">Intricate designs, lace borders, fine detail</t>
  </si>
  <si>
    <t xml:space="preserve">Press time per shirt (min)</t>
  </si>
  <si>
    <t xml:space="preserve">Including HTV placement and pressing</t>
  </si>
  <si>
    <t xml:space="preserve">Packing &amp; transfer tape per decal (min)</t>
  </si>
  <si>
    <t xml:space="preserve">Applying transfer tape, trimming, packaging</t>
  </si>
  <si>
    <t xml:space="preserve">Order admin time (min)</t>
  </si>
  <si>
    <t xml:space="preserve">Messaging client, invoicing, file review</t>
  </si>
  <si>
    <t xml:space="preserve">🎨  VINYL &amp; MATERIALS COSTS</t>
  </si>
  <si>
    <t xml:space="preserve">Permanent vinyl cost per sq ft (Oracal 651)</t>
  </si>
  <si>
    <t xml:space="preserve">Standard permanent vinyl — great for decals</t>
  </si>
  <si>
    <t xml:space="preserve">HTV vinyl cost per sq ft (heat transfer)</t>
  </si>
  <si>
    <t xml:space="preserve">Iron-on / heat transfer vinyl for shirts</t>
  </si>
  <si>
    <t xml:space="preserve">Specialty vinyl premium (reflective/holographic)</t>
  </si>
  <si>
    <t xml:space="preserve">Extra cost per sq ft over standard</t>
  </si>
  <si>
    <t xml:space="preserve">Transfer tape cost per sq ft</t>
  </si>
  <si>
    <t xml:space="preserve">Needed for applying decals</t>
  </si>
  <si>
    <t xml:space="preserve">Average vinyl used — small decal (sq ft)</t>
  </si>
  <si>
    <t xml:space="preserve">Up to 3" × 3"</t>
  </si>
  <si>
    <t xml:space="preserve">Average vinyl used — medium decal (sq ft)</t>
  </si>
  <si>
    <t xml:space="preserve">3" – 6"</t>
  </si>
  <si>
    <t xml:space="preserve">Average vinyl used — large decal (sq ft)</t>
  </si>
  <si>
    <t xml:space="preserve">6" – 12"</t>
  </si>
  <si>
    <t xml:space="preserve">Average HTV used — shirt front only (sq ft)</t>
  </si>
  <si>
    <t xml:space="preserve">Standard chest logo</t>
  </si>
  <si>
    <t xml:space="preserve">Average HTV used — front + back (sq ft)</t>
  </si>
  <si>
    <t xml:space="preserve">Double-sided print</t>
  </si>
  <si>
    <t xml:space="preserve">👕  BLANK GARMENT WHOLESALE COSTS (You Supply)</t>
  </si>
  <si>
    <t xml:space="preserve">Budget cotton blank (Gildan 5000)</t>
  </si>
  <si>
    <t xml:space="preserve">Wholesale per shirt — order to fulfil each job</t>
  </si>
  <si>
    <t xml:space="preserve">Mid-range blank (Bella+Canvas 3001)</t>
  </si>
  <si>
    <t xml:space="preserve">Popular fitted unisex — great quality</t>
  </si>
  <si>
    <t xml:space="preserve">Premium blank (Next Level 6210)</t>
  </si>
  <si>
    <t xml:space="preserve">Premium ring-spun cotton blend</t>
  </si>
  <si>
    <t xml:space="preserve">Hoodie blank (Gildan 18500)</t>
  </si>
  <si>
    <t xml:space="preserve">Wholesale per hoodie</t>
  </si>
  <si>
    <t xml:space="preserve">Toque / beanie blank</t>
  </si>
  <si>
    <t xml:space="preserve">Per unit wholesale</t>
  </si>
  <si>
    <t xml:space="preserve">Shipping to you (per garment, avg)</t>
  </si>
  <si>
    <t xml:space="preserve">Estimated freight cost per piece from wholesaler</t>
  </si>
  <si>
    <t xml:space="preserve">Minimum order from wholesaler</t>
  </si>
  <si>
    <t xml:space="preserve">Typical minimum — order per job, not in advance</t>
  </si>
  <si>
    <t xml:space="preserve">📦  MAKE-TO-ORDER POLICY NOTES</t>
  </si>
  <si>
    <t xml:space="preserve">✅  Orders are made-to-order only — no inventory kept on hand</t>
  </si>
  <si>
    <t xml:space="preserve">✅  Customer must confirm size, colour, and quantity BEFORE you place blank order</t>
  </si>
  <si>
    <t xml:space="preserve">✅  Require 50% deposit upfront to cover blank and material costs</t>
  </si>
  <si>
    <t xml:space="preserve">✅  Turnaround: 5–10 business days from deposit received (allows time to order blanks)</t>
  </si>
  <si>
    <t xml:space="preserve">✅  CSG (customer supplies garment): reduces your risk — just charge pressing + design fee</t>
  </si>
  <si>
    <t xml:space="preserve">⚠️   Liability waiver required for CSG — you are not responsible for fabric damage</t>
  </si>
  <si>
    <t xml:space="preserve">⚠️   Polyester, nylon, and athletic-wear fabrics are HIGH RISK — do not press without testing</t>
  </si>
  <si>
    <t xml:space="preserve">⚠️   If customer supplies garments, inspect fabric content before accepting the job</t>
  </si>
  <si>
    <t xml:space="preserve">BC Web Creator — Vinyl Decal Job Cost Calculator</t>
  </si>
  <si>
    <t xml:space="preserve">Enter job details in BLUE cells. Costs calculate automatically.</t>
  </si>
  <si>
    <t xml:space="preserve">JOB INPUTS</t>
  </si>
  <si>
    <t xml:space="preserve">Decal size</t>
  </si>
  <si>
    <t xml:space="preserve">—</t>
  </si>
  <si>
    <t xml:space="preserve">Small / Medium / Large — for reference only</t>
  </si>
  <si>
    <t xml:space="preserve">Quantity of decals</t>
  </si>
  <si>
    <t xml:space="preserve">Number of decals in this order</t>
  </si>
  <si>
    <t xml:space="preserve">Design complexity</t>
  </si>
  <si>
    <t xml:space="preserve">Simple or Complex — affects weeding time</t>
  </si>
  <si>
    <t xml:space="preserve">Specialty vinyl? (1=Yes 0=No)</t>
  </si>
  <si>
    <t xml:space="preserve">Reflective, holographic, metallic</t>
  </si>
  <si>
    <t xml:space="preserve">New logo? Needs setup? (1=Yes 0=No)</t>
  </si>
  <si>
    <t xml:space="preserve">First time client or non-vector file</t>
  </si>
  <si>
    <t xml:space="preserve">Vinyl sq ft per decal</t>
  </si>
  <si>
    <t xml:space="preserve">From assumptions sheet — update to match size</t>
  </si>
  <si>
    <t xml:space="preserve">COST BREAKDOWN (per decal)</t>
  </si>
  <si>
    <t xml:space="preserve">Cost Item</t>
  </si>
  <si>
    <t xml:space="preserve">Unit Cost</t>
  </si>
  <si>
    <t xml:space="preserve">Per Decal</t>
  </si>
  <si>
    <t xml:space="preserve">Job Total</t>
  </si>
  <si>
    <t xml:space="preserve">Notes</t>
  </si>
  <si>
    <t xml:space="preserve">  Vinyl material</t>
  </si>
  <si>
    <t xml:space="preserve">Permanent vinyl (Oracal 651)</t>
  </si>
  <si>
    <t xml:space="preserve">  Specialty vinyl upcharge</t>
  </si>
  <si>
    <t xml:space="preserve">Only charged if specialty vinyl selected</t>
  </si>
  <si>
    <t xml:space="preserve">  Transfer tape</t>
  </si>
  <si>
    <t xml:space="preserve">Applied after weeding</t>
  </si>
  <si>
    <t xml:space="preserve">  Cut time labour</t>
  </si>
  <si>
    <t xml:space="preserve">Cricut cut time × hourly rate</t>
  </si>
  <si>
    <t xml:space="preserve">  Weeding labour</t>
  </si>
  <si>
    <t xml:space="preserve">Simple vs complex weeding time</t>
  </si>
  <si>
    <t xml:space="preserve">  Packing &amp; transfer apply</t>
  </si>
  <si>
    <t xml:space="preserve">Applying transfer tape and packaging</t>
  </si>
  <si>
    <t xml:space="preserve">  Logo setup / file prep (one-time)</t>
  </si>
  <si>
    <t xml:space="preserve">One-time charge — not multiplied by quantity</t>
  </si>
  <si>
    <t xml:space="preserve">  Order admin time</t>
  </si>
  <si>
    <t xml:space="preserve">One-time per order admin charge</t>
  </si>
  <si>
    <t xml:space="preserve">JOB SUMMARY</t>
  </si>
  <si>
    <t xml:space="preserve">Total job cost (materials + labour)</t>
  </si>
  <si>
    <t xml:space="preserve">Cost per decal</t>
  </si>
  <si>
    <t xml:space="preserve">Suggested sell price per decal (2× markup)</t>
  </si>
  <si>
    <t xml:space="preserve">Suggested sell price per decal (2.5× markup)</t>
  </si>
  <si>
    <t xml:space="preserve">Suggested job total (2× markup)</t>
  </si>
  <si>
    <t xml:space="preserve">Profit at 2× markup</t>
  </si>
  <si>
    <t xml:space="preserve">Profit margin at 2× markup</t>
  </si>
  <si>
    <t xml:space="preserve">BC Web Creator — T-Shirt Job Cost Calculator</t>
  </si>
  <si>
    <t xml:space="preserve">Blue cells = your inputs. Switch between Customer Supplies Garment (CSG) or You Supply modes.</t>
  </si>
  <si>
    <t xml:space="preserve">Input</t>
  </si>
  <si>
    <t xml:space="preserve">Value</t>
  </si>
  <si>
    <t xml:space="preserve">Quantity of shirts</t>
  </si>
  <si>
    <t xml:space="preserve">Number of shirts in this order</t>
  </si>
  <si>
    <t xml:space="preserve">Supply mode (1=You Supply, 0=CSG)</t>
  </si>
  <si>
    <t xml:space="preserve">1 = BC Web Creator buys blanks. 0 = Customer brings shirts</t>
  </si>
  <si>
    <t xml:space="preserve">Garment type (1=Budget 2=Mid 3=Premium)</t>
  </si>
  <si>
    <t xml:space="preserve">1=Gildan $4.50  2=B+C $7.50  3=Next Level $10</t>
  </si>
  <si>
    <t xml:space="preserve">Front + back print? (1=Yes 0=No)</t>
  </si>
  <si>
    <t xml:space="preserve">Doubles HTV and press time</t>
  </si>
  <si>
    <t xml:space="preserve">Design complexity (1=Complex 0=Simple)</t>
  </si>
  <si>
    <t xml:space="preserve">Affects design prep time</t>
  </si>
  <si>
    <t xml:space="preserve">New logo / needs setup? (1=Yes 0=No)</t>
  </si>
  <si>
    <t xml:space="preserve">One-time file prep charge</t>
  </si>
  <si>
    <t xml:space="preserve">COST BREAKDOWN</t>
  </si>
  <si>
    <t xml:space="preserve">Per Shirt</t>
  </si>
  <si>
    <t xml:space="preserve">  Blank garment cost</t>
  </si>
  <si>
    <t xml:space="preserve">Zero if customer supplies garment (CSG)</t>
  </si>
  <si>
    <t xml:space="preserve">  HTV vinyl material</t>
  </si>
  <si>
    <t xml:space="preserve">Front only vs front+back HTV usage</t>
  </si>
  <si>
    <t xml:space="preserve">  Design / file prep (one-time)</t>
  </si>
  <si>
    <t xml:space="preserve">One-time per job, not per shirt</t>
  </si>
  <si>
    <t xml:space="preserve">  Heat press labour</t>
  </si>
  <si>
    <t xml:space="preserve">×1.5 for front+back orders</t>
  </si>
  <si>
    <t xml:space="preserve">  HTV weeding labour</t>
  </si>
  <si>
    <t xml:space="preserve">Simple vs complex design weeding</t>
  </si>
  <si>
    <t xml:space="preserve">  Order admin time (one-time)</t>
  </si>
  <si>
    <t xml:space="preserve">One-time per order</t>
  </si>
  <si>
    <t xml:space="preserve">⚠️  CSG Mode: Customer supplies garments — always get signed liability waiver. Not responsible for fabric damage.</t>
  </si>
  <si>
    <t xml:space="preserve">Total job cost (all in)</t>
  </si>
  <si>
    <t xml:space="preserve">Cost per shirt</t>
  </si>
  <si>
    <t xml:space="preserve">Mode</t>
  </si>
  <si>
    <t xml:space="preserve">Suggested sell price per shirt (2× markup)</t>
  </si>
  <si>
    <t xml:space="preserve">Suggested sell price per shirt (2.5× markup)</t>
  </si>
  <si>
    <t xml:space="preserve">BC Web Creator — Quick Pricing Reference (CAD)</t>
  </si>
  <si>
    <t xml:space="preserve">For internal use and client quotes. All prices make-to-order.</t>
  </si>
  <si>
    <t xml:space="preserve">VINYL DECALS</t>
  </si>
  <si>
    <t xml:space="preserve">Size</t>
  </si>
  <si>
    <t xml:space="preserve">Small Batch (10–49)</t>
  </si>
  <si>
    <t xml:space="preserve">Bulk (50+)</t>
  </si>
  <si>
    <t xml:space="preserve">Small  (up to 3")</t>
  </si>
  <si>
    <t xml:space="preserve">$3.50 – $5.00 ea.</t>
  </si>
  <si>
    <t xml:space="preserve">$1.50 – $2.50 ea.</t>
  </si>
  <si>
    <t xml:space="preserve">Standard permanent vinyl</t>
  </si>
  <si>
    <t xml:space="preserve">Medium (3" – 6")</t>
  </si>
  <si>
    <t xml:space="preserve">$7.00 – $10.00 ea.</t>
  </si>
  <si>
    <t xml:space="preserve">$4.00 – $6.00 ea.</t>
  </si>
  <si>
    <t xml:space="preserve">Large  (6" – 12")</t>
  </si>
  <si>
    <t xml:space="preserve">$20.00 – $28.00 ea.</t>
  </si>
  <si>
    <t xml:space="preserve">$12.00 – $16.00 ea.</t>
  </si>
  <si>
    <t xml:space="preserve">Specialty vinyl</t>
  </si>
  <si>
    <t xml:space="preserve">+$2.00–$5.00 ea.</t>
  </si>
  <si>
    <t xml:space="preserve">Reflective / holographic / metallic</t>
  </si>
  <si>
    <t xml:space="preserve">Complex design fee</t>
  </si>
  <si>
    <t xml:space="preserve">+15%–25%</t>
  </si>
  <si>
    <t xml:space="preserve">Intricate weeding required</t>
  </si>
  <si>
    <t xml:space="preserve">Logo setup fee</t>
  </si>
  <si>
    <t xml:space="preserve">$15.00–$30.00</t>
  </si>
  <si>
    <t xml:space="preserve">One-time, non-vector files only</t>
  </si>
  <si>
    <t xml:space="preserve">CUSTOM T-SHIRTS — YOU SUPPLY GARMENT</t>
  </si>
  <si>
    <t xml:space="preserve">Quantity</t>
  </si>
  <si>
    <t xml:space="preserve">Budget Cotton</t>
  </si>
  <si>
    <t xml:space="preserve">Premium Blend</t>
  </si>
  <si>
    <t xml:space="preserve">Individual (1–9)</t>
  </si>
  <si>
    <t xml:space="preserve">$25 – $35</t>
  </si>
  <si>
    <t xml:space="preserve">$35 – $50</t>
  </si>
  <si>
    <t xml:space="preserve">Includes HTV, pressing, weeding</t>
  </si>
  <si>
    <t xml:space="preserve">Team / Small Biz (10–49)</t>
  </si>
  <si>
    <t xml:space="preserve">$18 – $22 ea.</t>
  </si>
  <si>
    <t xml:space="preserve">$25 – $32 ea.</t>
  </si>
  <si>
    <t xml:space="preserve">Bulk rate applied</t>
  </si>
  <si>
    <t xml:space="preserve">$14 – $16 ea.</t>
  </si>
  <si>
    <t xml:space="preserve">$18 – $24 ea.</t>
  </si>
  <si>
    <t xml:space="preserve">Best per-unit rate</t>
  </si>
  <si>
    <t xml:space="preserve">Front + Back add-on</t>
  </si>
  <si>
    <t xml:space="preserve">+$5–$10/garment</t>
  </si>
  <si>
    <t xml:space="preserve">Double press and HTV</t>
  </si>
  <si>
    <t xml:space="preserve">Oversized (&gt;12"×12")</t>
  </si>
  <si>
    <t xml:space="preserve">+$2–$5/shirt</t>
  </si>
  <si>
    <t xml:space="preserve">Extra material and time</t>
  </si>
  <si>
    <t xml:space="preserve">$15–$30 (once)</t>
  </si>
  <si>
    <t xml:space="preserve">First time / non-vector file</t>
  </si>
  <si>
    <t xml:space="preserve">CUSTOM T-SHIRTS — CUSTOMER SUPPLIES GARMENT (CSG)</t>
  </si>
  <si>
    <t xml:space="preserve">Service</t>
  </si>
  <si>
    <t xml:space="preserve">Price per Shirt</t>
  </si>
  <si>
    <t xml:space="preserve">Press only (your HTV design pre-made)</t>
  </si>
  <si>
    <t xml:space="preserve">$10 – $15</t>
  </si>
  <si>
    <t xml:space="preserve">Customer brings shirt, you press</t>
  </si>
  <si>
    <t xml:space="preserve">Design + press (simple 1-colour)</t>
  </si>
  <si>
    <t xml:space="preserve">$15 – $20</t>
  </si>
  <si>
    <t xml:space="preserve">Includes HTV cutting and weeding</t>
  </si>
  <si>
    <t xml:space="preserve">Design + press (complex / multi-layer)</t>
  </si>
  <si>
    <t xml:space="preserve">$20 – $30</t>
  </si>
  <si>
    <t xml:space="preserve">Detailed designs, layered vinyl</t>
  </si>
  <si>
    <t xml:space="preserve">WAIVER REQUIRED</t>
  </si>
  <si>
    <t xml:space="preserve">Must sign before work begins</t>
  </si>
  <si>
    <t xml:space="preserve">⚠️ Not liable for garment damage</t>
  </si>
  <si>
    <t xml:space="preserve">Accepted fabrics</t>
  </si>
  <si>
    <t xml:space="preserve">100% cotton, 50/50 blends only</t>
  </si>
  <si>
    <t xml:space="preserve">⚠️ No polyester, nylon, athletic wear</t>
  </si>
  <si>
    <t xml:space="preserve">MAKE-TO-ORDER POLICY</t>
  </si>
  <si>
    <t xml:space="preserve">Deposit required</t>
  </si>
  <si>
    <t xml:space="preserve">50% upfront</t>
  </si>
  <si>
    <t xml:space="preserve">Covers blanks + materials before order placed</t>
  </si>
  <si>
    <t xml:space="preserve">Turnaround time</t>
  </si>
  <si>
    <t xml:space="preserve">5–10 business days</t>
  </si>
  <si>
    <t xml:space="preserve">From deposit received — allows time to source blanks</t>
  </si>
  <si>
    <t xml:space="preserve">Blank sourcing</t>
  </si>
  <si>
    <t xml:space="preserve">Ordered per job — no inventory</t>
  </si>
  <si>
    <t xml:space="preserve">S&amp;S Activewear, Alphabroder, or Gildan direct</t>
  </si>
  <si>
    <t xml:space="preserve">Size confirmation</t>
  </si>
  <si>
    <t xml:space="preserve">Required before order placed</t>
  </si>
  <si>
    <t xml:space="preserve">Customer confirms all sizes in writing</t>
  </si>
  <si>
    <t xml:space="preserve">Cancellation policy</t>
  </si>
  <si>
    <t xml:space="preserve">Deposit non-refundable</t>
  </si>
  <si>
    <t xml:space="preserve">Once blanks ordered, job is committed</t>
  </si>
  <si>
    <t xml:space="preserve">Revision policy</t>
  </si>
  <si>
    <t xml:space="preserve">1 free revision on designs</t>
  </si>
  <si>
    <t xml:space="preserve">Additional revisions at $25/hr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</si>
</sst>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"/>
    <numFmt numFmtId="167" formatCode="0.0%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777777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33333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1"/>
      <color rgb="FF999999"/>
      <name val="Arial"/>
      <family val="0"/>
      <charset val="1"/>
    </font>
    <font>
      <b val="true"/>
      <sz val="11"/>
      <color rgb="FF1A1A2E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6633"/>
      <name val="Arial"/>
      <family val="0"/>
      <charset val="1"/>
    </font>
    <font>
      <b val="true"/>
      <sz val="9"/>
      <color rgb="FFCC0000"/>
      <name val="Arial"/>
      <family val="0"/>
      <charset val="1"/>
    </font>
    <font>
      <b val="true"/>
      <sz val="11"/>
      <color rgb="FF0D7377"/>
      <name val="Arial"/>
      <family val="0"/>
      <charset val="1"/>
    </font>
    <font>
      <b val="true"/>
      <sz val="11"/>
      <color rgb="FFCC0000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A1A2E"/>
        <bgColor rgb="FF333333"/>
      </patternFill>
    </fill>
    <fill>
      <patternFill patternType="solid">
        <fgColor rgb="FFF4F4F4"/>
        <bgColor rgb="FFFFF0F0"/>
      </patternFill>
    </fill>
    <fill>
      <patternFill patternType="solid">
        <fgColor rgb="FFFFF3CD"/>
        <bgColor rgb="FFFFF0F0"/>
      </patternFill>
    </fill>
    <fill>
      <patternFill patternType="solid">
        <fgColor rgb="FF0D7377"/>
        <bgColor rgb="FF008080"/>
      </patternFill>
    </fill>
    <fill>
      <patternFill patternType="solid">
        <fgColor rgb="FFB8860B"/>
        <bgColor rgb="FFFF9900"/>
      </patternFill>
    </fill>
    <fill>
      <patternFill patternType="solid">
        <fgColor rgb="FF444444"/>
        <bgColor rgb="FF444477"/>
      </patternFill>
    </fill>
    <fill>
      <patternFill patternType="solid">
        <fgColor rgb="FFFFF0F0"/>
        <bgColor rgb="FFF4F4F4"/>
      </patternFill>
    </fill>
    <fill>
      <patternFill patternType="solid">
        <fgColor rgb="FFDDDDDD"/>
        <bgColor rgb="FFD4EEEF"/>
      </patternFill>
    </fill>
    <fill>
      <patternFill patternType="solid">
        <fgColor rgb="FFD4EEEF"/>
        <bgColor rgb="FFE6F9F0"/>
      </patternFill>
    </fill>
    <fill>
      <patternFill patternType="solid">
        <fgColor rgb="FFE6F9F0"/>
        <bgColor rgb="FFF4F4F4"/>
      </patternFill>
    </fill>
    <fill>
      <patternFill patternType="solid">
        <fgColor rgb="FFFFFFFF"/>
        <bgColor rgb="FFF4F4F4"/>
      </patternFill>
    </fill>
    <fill>
      <patternFill patternType="solid">
        <fgColor rgb="FF444477"/>
        <bgColor rgb="FF444444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B8860B"/>
      </bottom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8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6633"/>
      <rgbColor rgb="FF000080"/>
      <rgbColor rgb="FFB8860B"/>
      <rgbColor rgb="FF800080"/>
      <rgbColor rgb="FF0D7377"/>
      <rgbColor rgb="FFC0C0C0"/>
      <rgbColor rgb="FF777777"/>
      <rgbColor rgb="FF9999FF"/>
      <rgbColor rgb="FF993366"/>
      <rgbColor rgb="FFFFF3CD"/>
      <rgbColor rgb="FFD4EEE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6F9F0"/>
      <rgbColor rgb="FFF4F4F4"/>
      <rgbColor rgb="FFFFF0F0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99999"/>
      <rgbColor rgb="FF003366"/>
      <rgbColor rgb="FF339966"/>
      <rgbColor rgb="FF1A1A2E"/>
      <rgbColor rgb="FF444444"/>
      <rgbColor rgb="FF993300"/>
      <rgbColor rgb="FF993366"/>
      <rgbColor rgb="FF44447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C4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20"/>
    <col collapsed="false" customWidth="true" hidden="false" outlineLevel="0" max="3" min="3" style="1" width="50"/>
  </cols>
  <sheetData>
    <row r="1" customFormat="false" ht="19.5" hidden="false" customHeight="true" outlineLevel="0" collapsed="false">
      <c r="A1" s="2" t="s">
        <v>0</v>
      </c>
      <c r="B1" s="2"/>
      <c r="C1" s="2"/>
    </row>
    <row r="2" customFormat="false" ht="30" hidden="false" customHeight="true" outlineLevel="0" collapsed="false">
      <c r="A2" s="3" t="s">
        <v>1</v>
      </c>
      <c r="B2" s="3"/>
      <c r="C2" s="3"/>
    </row>
    <row r="4" customFormat="false" ht="19.5" hidden="false" customHeight="true" outlineLevel="0" collapsed="false">
      <c r="A4" s="4" t="s">
        <v>2</v>
      </c>
      <c r="B4" s="4"/>
      <c r="C4" s="4"/>
    </row>
    <row r="5" customFormat="false" ht="15" hidden="false" customHeight="true" outlineLevel="0" collapsed="false">
      <c r="A5" s="5" t="s">
        <v>3</v>
      </c>
      <c r="B5" s="6" t="n">
        <v>25</v>
      </c>
      <c r="C5" s="7" t="s">
        <v>4</v>
      </c>
    </row>
    <row r="6" customFormat="false" ht="19.5" hidden="false" customHeight="true" outlineLevel="0" collapsed="false">
      <c r="A6" s="8" t="s">
        <v>5</v>
      </c>
      <c r="B6" s="9" t="n">
        <v>20</v>
      </c>
      <c r="C6" s="7" t="s">
        <v>6</v>
      </c>
    </row>
    <row r="7" customFormat="false" ht="19.5" hidden="false" customHeight="true" outlineLevel="0" collapsed="false">
      <c r="A7" s="8" t="s">
        <v>7</v>
      </c>
      <c r="B7" s="9" t="n">
        <v>45</v>
      </c>
      <c r="C7" s="7" t="s">
        <v>8</v>
      </c>
    </row>
    <row r="8" customFormat="false" ht="19.5" hidden="false" customHeight="true" outlineLevel="0" collapsed="false">
      <c r="A8" s="5" t="s">
        <v>9</v>
      </c>
      <c r="B8" s="9" t="n">
        <v>3</v>
      </c>
      <c r="C8" s="7" t="s">
        <v>10</v>
      </c>
    </row>
    <row r="9" customFormat="false" ht="19.5" hidden="false" customHeight="true" outlineLevel="0" collapsed="false">
      <c r="A9" s="5" t="s">
        <v>11</v>
      </c>
      <c r="B9" s="9" t="n">
        <v>5</v>
      </c>
      <c r="C9" s="7" t="s">
        <v>12</v>
      </c>
    </row>
    <row r="10" customFormat="false" ht="19.5" hidden="false" customHeight="true" outlineLevel="0" collapsed="false">
      <c r="A10" s="5" t="s">
        <v>13</v>
      </c>
      <c r="B10" s="9" t="n">
        <v>18</v>
      </c>
      <c r="C10" s="7" t="s">
        <v>14</v>
      </c>
    </row>
    <row r="11" customFormat="false" ht="19.5" hidden="false" customHeight="true" outlineLevel="0" collapsed="false">
      <c r="A11" s="5" t="s">
        <v>15</v>
      </c>
      <c r="B11" s="9" t="n">
        <v>8</v>
      </c>
      <c r="C11" s="7" t="s">
        <v>16</v>
      </c>
    </row>
    <row r="12" customFormat="false" ht="19.5" hidden="false" customHeight="true" outlineLevel="0" collapsed="false">
      <c r="A12" s="8" t="s">
        <v>17</v>
      </c>
      <c r="B12" s="9" t="n">
        <v>3</v>
      </c>
      <c r="C12" s="7" t="s">
        <v>18</v>
      </c>
    </row>
    <row r="13" customFormat="false" ht="15" hidden="false" customHeight="true" outlineLevel="0" collapsed="false">
      <c r="A13" s="5" t="s">
        <v>19</v>
      </c>
      <c r="B13" s="9" t="n">
        <v>10</v>
      </c>
      <c r="C13" s="7" t="s">
        <v>20</v>
      </c>
    </row>
    <row r="15" customFormat="false" ht="19.5" hidden="false" customHeight="true" outlineLevel="0" collapsed="false">
      <c r="A15" s="10" t="s">
        <v>21</v>
      </c>
      <c r="B15" s="10"/>
      <c r="C15" s="10"/>
    </row>
    <row r="16" customFormat="false" ht="19.5" hidden="false" customHeight="true" outlineLevel="0" collapsed="false">
      <c r="A16" s="8" t="s">
        <v>22</v>
      </c>
      <c r="B16" s="6" t="n">
        <v>0.8</v>
      </c>
      <c r="C16" s="7" t="s">
        <v>23</v>
      </c>
    </row>
    <row r="17" customFormat="false" ht="19.5" hidden="false" customHeight="true" outlineLevel="0" collapsed="false">
      <c r="A17" s="8" t="s">
        <v>24</v>
      </c>
      <c r="B17" s="6" t="n">
        <v>1.2</v>
      </c>
      <c r="C17" s="7" t="s">
        <v>25</v>
      </c>
    </row>
    <row r="18" customFormat="false" ht="19.5" hidden="false" customHeight="true" outlineLevel="0" collapsed="false">
      <c r="A18" s="8" t="s">
        <v>26</v>
      </c>
      <c r="B18" s="6" t="n">
        <v>2.5</v>
      </c>
      <c r="C18" s="7" t="s">
        <v>27</v>
      </c>
    </row>
    <row r="19" customFormat="false" ht="19.5" hidden="false" customHeight="true" outlineLevel="0" collapsed="false">
      <c r="A19" s="5" t="s">
        <v>28</v>
      </c>
      <c r="B19" s="6" t="n">
        <v>0.15</v>
      </c>
      <c r="C19" s="7" t="s">
        <v>29</v>
      </c>
    </row>
    <row r="20" customFormat="false" ht="19.5" hidden="false" customHeight="true" outlineLevel="0" collapsed="false">
      <c r="A20" s="8" t="s">
        <v>30</v>
      </c>
      <c r="B20" s="6" t="n">
        <v>0.1</v>
      </c>
      <c r="C20" s="7" t="s">
        <v>31</v>
      </c>
    </row>
    <row r="21" customFormat="false" ht="19.5" hidden="false" customHeight="true" outlineLevel="0" collapsed="false">
      <c r="A21" s="8" t="s">
        <v>32</v>
      </c>
      <c r="B21" s="6" t="n">
        <v>0.25</v>
      </c>
      <c r="C21" s="7" t="s">
        <v>33</v>
      </c>
    </row>
    <row r="22" customFormat="false" ht="19.5" hidden="false" customHeight="true" outlineLevel="0" collapsed="false">
      <c r="A22" s="8" t="s">
        <v>34</v>
      </c>
      <c r="B22" s="6" t="n">
        <v>0.7</v>
      </c>
      <c r="C22" s="7" t="s">
        <v>35</v>
      </c>
    </row>
    <row r="23" customFormat="false" ht="19.5" hidden="false" customHeight="true" outlineLevel="0" collapsed="false">
      <c r="A23" s="8" t="s">
        <v>36</v>
      </c>
      <c r="B23" s="6" t="n">
        <v>0.55</v>
      </c>
      <c r="C23" s="7" t="s">
        <v>37</v>
      </c>
    </row>
    <row r="24" customFormat="false" ht="19.5" hidden="false" customHeight="true" outlineLevel="0" collapsed="false">
      <c r="A24" s="8" t="s">
        <v>38</v>
      </c>
      <c r="B24" s="6" t="n">
        <v>1.1</v>
      </c>
      <c r="C24" s="7" t="s">
        <v>39</v>
      </c>
    </row>
    <row r="26" customFormat="false" ht="19.5" hidden="false" customHeight="true" outlineLevel="0" collapsed="false">
      <c r="A26" s="11" t="s">
        <v>40</v>
      </c>
      <c r="B26" s="11"/>
      <c r="C26" s="11"/>
    </row>
    <row r="27" customFormat="false" ht="19.5" hidden="false" customHeight="true" outlineLevel="0" collapsed="false">
      <c r="A27" s="5" t="s">
        <v>41</v>
      </c>
      <c r="B27" s="6" t="n">
        <v>4.5</v>
      </c>
      <c r="C27" s="7" t="s">
        <v>42</v>
      </c>
    </row>
    <row r="28" customFormat="false" ht="19.5" hidden="false" customHeight="true" outlineLevel="0" collapsed="false">
      <c r="A28" s="5" t="s">
        <v>43</v>
      </c>
      <c r="B28" s="6" t="n">
        <v>7.5</v>
      </c>
      <c r="C28" s="7" t="s">
        <v>44</v>
      </c>
    </row>
    <row r="29" customFormat="false" ht="19.5" hidden="false" customHeight="true" outlineLevel="0" collapsed="false">
      <c r="A29" s="5" t="s">
        <v>45</v>
      </c>
      <c r="B29" s="6" t="n">
        <v>10</v>
      </c>
      <c r="C29" s="7" t="s">
        <v>46</v>
      </c>
    </row>
    <row r="30" customFormat="false" ht="19.5" hidden="false" customHeight="true" outlineLevel="0" collapsed="false">
      <c r="A30" s="5" t="s">
        <v>47</v>
      </c>
      <c r="B30" s="6" t="n">
        <v>14</v>
      </c>
      <c r="C30" s="7" t="s">
        <v>48</v>
      </c>
    </row>
    <row r="31" customFormat="false" ht="15" hidden="false" customHeight="true" outlineLevel="0" collapsed="false">
      <c r="A31" s="5" t="s">
        <v>49</v>
      </c>
      <c r="B31" s="6" t="n">
        <v>6</v>
      </c>
      <c r="C31" s="7" t="s">
        <v>50</v>
      </c>
    </row>
    <row r="32" customFormat="false" ht="19.5" hidden="false" customHeight="true" outlineLevel="0" collapsed="false">
      <c r="A32" s="5" t="s">
        <v>51</v>
      </c>
      <c r="B32" s="6" t="n">
        <v>1.25</v>
      </c>
      <c r="C32" s="7" t="s">
        <v>52</v>
      </c>
    </row>
    <row r="33" customFormat="false" ht="19.5" hidden="false" customHeight="true" outlineLevel="0" collapsed="false">
      <c r="A33" s="5" t="s">
        <v>53</v>
      </c>
      <c r="B33" s="9" t="n">
        <v>12</v>
      </c>
      <c r="C33" s="7" t="s">
        <v>54</v>
      </c>
    </row>
    <row r="35" customFormat="false" ht="19.5" hidden="false" customHeight="true" outlineLevel="0" collapsed="false">
      <c r="A35" s="12" t="s">
        <v>55</v>
      </c>
      <c r="B35" s="12"/>
      <c r="C35" s="12"/>
    </row>
    <row r="36" customFormat="false" ht="30" hidden="false" customHeight="true" outlineLevel="0" collapsed="false">
      <c r="A36" s="13" t="s">
        <v>56</v>
      </c>
      <c r="B36" s="13"/>
      <c r="C36" s="13"/>
    </row>
    <row r="37" customFormat="false" ht="30" hidden="false" customHeight="true" outlineLevel="0" collapsed="false">
      <c r="A37" s="13" t="s">
        <v>57</v>
      </c>
      <c r="B37" s="13"/>
      <c r="C37" s="13"/>
    </row>
    <row r="38" customFormat="false" ht="30" hidden="false" customHeight="true" outlineLevel="0" collapsed="false">
      <c r="A38" s="13" t="s">
        <v>58</v>
      </c>
      <c r="B38" s="13"/>
      <c r="C38" s="13"/>
    </row>
    <row r="39" customFormat="false" ht="30" hidden="false" customHeight="true" outlineLevel="0" collapsed="false">
      <c r="A39" s="13" t="s">
        <v>59</v>
      </c>
      <c r="B39" s="13"/>
      <c r="C39" s="13"/>
    </row>
    <row r="40" customFormat="false" ht="30" hidden="false" customHeight="true" outlineLevel="0" collapsed="false">
      <c r="A40" s="13" t="s">
        <v>60</v>
      </c>
      <c r="B40" s="13"/>
      <c r="C40" s="13"/>
    </row>
    <row r="41" customFormat="false" ht="30" hidden="false" customHeight="true" outlineLevel="0" collapsed="false">
      <c r="A41" s="14" t="s">
        <v>61</v>
      </c>
      <c r="B41" s="14"/>
      <c r="C41" s="14"/>
    </row>
    <row r="42" customFormat="false" ht="30" hidden="false" customHeight="true" outlineLevel="0" collapsed="false">
      <c r="A42" s="14" t="s">
        <v>62</v>
      </c>
      <c r="B42" s="14"/>
      <c r="C42" s="14"/>
    </row>
    <row r="43" customFormat="false" ht="30" hidden="false" customHeight="true" outlineLevel="0" collapsed="false">
      <c r="A43" s="14" t="s">
        <v>63</v>
      </c>
      <c r="B43" s="14"/>
      <c r="C43" s="14"/>
    </row>
  </sheetData>
  <mergeCells count="14">
    <mergeCell ref="A1:C1"/>
    <mergeCell ref="A2:C2"/>
    <mergeCell ref="A4:C4"/>
    <mergeCell ref="A15:C15"/>
    <mergeCell ref="A26:C26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7377"/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4" min="2" style="1" width="18"/>
    <col collapsed="false" customWidth="true" hidden="false" outlineLevel="0" max="5" min="5" style="1" width="38"/>
  </cols>
  <sheetData>
    <row r="1" customFormat="false" ht="19.5" hidden="false" customHeight="true" outlineLevel="0" collapsed="false">
      <c r="A1" s="15" t="s">
        <v>64</v>
      </c>
      <c r="B1" s="15"/>
      <c r="C1" s="15"/>
      <c r="D1" s="15"/>
      <c r="E1" s="15"/>
    </row>
    <row r="2" customFormat="false" ht="30" hidden="false" customHeight="true" outlineLevel="0" collapsed="false">
      <c r="A2" s="3" t="s">
        <v>65</v>
      </c>
      <c r="B2" s="3"/>
      <c r="C2" s="3"/>
      <c r="D2" s="3"/>
      <c r="E2" s="3"/>
    </row>
    <row r="4" customFormat="false" ht="15" hidden="false" customHeight="true" outlineLevel="0" collapsed="false">
      <c r="A4" s="10" t="s">
        <v>66</v>
      </c>
      <c r="B4" s="10"/>
      <c r="C4" s="10"/>
      <c r="D4" s="10"/>
      <c r="E4" s="10"/>
    </row>
    <row r="5" customFormat="false" ht="15" hidden="false" customHeight="true" outlineLevel="0" collapsed="false">
      <c r="A5" s="5" t="s">
        <v>67</v>
      </c>
      <c r="B5" s="16" t="s">
        <v>68</v>
      </c>
      <c r="E5" s="7" t="s">
        <v>69</v>
      </c>
    </row>
    <row r="6" customFormat="false" ht="15" hidden="false" customHeight="true" outlineLevel="0" collapsed="false">
      <c r="A6" s="5" t="s">
        <v>70</v>
      </c>
      <c r="B6" s="9" t="n">
        <v>10</v>
      </c>
      <c r="E6" s="7" t="s">
        <v>71</v>
      </c>
    </row>
    <row r="7" customFormat="false" ht="15" hidden="false" customHeight="true" outlineLevel="0" collapsed="false">
      <c r="A7" s="5" t="s">
        <v>72</v>
      </c>
      <c r="B7" s="9" t="n">
        <v>0</v>
      </c>
      <c r="E7" s="7" t="s">
        <v>73</v>
      </c>
    </row>
    <row r="8" customFormat="false" ht="19.5" hidden="false" customHeight="true" outlineLevel="0" collapsed="false">
      <c r="A8" s="5" t="s">
        <v>74</v>
      </c>
      <c r="B8" s="9" t="n">
        <v>0</v>
      </c>
      <c r="E8" s="7" t="s">
        <v>75</v>
      </c>
    </row>
    <row r="9" customFormat="false" ht="19.5" hidden="false" customHeight="true" outlineLevel="0" collapsed="false">
      <c r="A9" s="5" t="s">
        <v>76</v>
      </c>
      <c r="B9" s="9" t="n">
        <v>1</v>
      </c>
      <c r="E9" s="7" t="s">
        <v>77</v>
      </c>
    </row>
    <row r="10" customFormat="false" ht="15" hidden="false" customHeight="true" outlineLevel="0" collapsed="false">
      <c r="A10" s="5" t="s">
        <v>78</v>
      </c>
      <c r="B10" s="6" t="n">
        <v>0.25</v>
      </c>
      <c r="E10" s="7" t="s">
        <v>79</v>
      </c>
    </row>
    <row r="11" customFormat="false" ht="19.5" hidden="false" customHeight="true" outlineLevel="0" collapsed="false">
      <c r="A11" s="4" t="s">
        <v>80</v>
      </c>
      <c r="B11" s="4"/>
      <c r="C11" s="4"/>
      <c r="D11" s="4"/>
      <c r="E11" s="4"/>
    </row>
    <row r="12" customFormat="false" ht="15" hidden="false" customHeight="true" outlineLevel="0" collapsed="false">
      <c r="A12" s="17" t="s">
        <v>81</v>
      </c>
      <c r="B12" s="17" t="s">
        <v>82</v>
      </c>
      <c r="C12" s="17" t="s">
        <v>83</v>
      </c>
      <c r="D12" s="17" t="s">
        <v>84</v>
      </c>
      <c r="E12" s="17" t="s">
        <v>85</v>
      </c>
    </row>
    <row r="13" customFormat="false" ht="15" hidden="false" customHeight="true" outlineLevel="0" collapsed="false">
      <c r="A13" s="5" t="s">
        <v>86</v>
      </c>
      <c r="B13" s="18" t="n">
        <f aca="false">'⚙ Rates &amp; Assumptions'!B19</f>
        <v>0.15</v>
      </c>
      <c r="C13" s="18" t="n">
        <f aca="false">B13*B10</f>
        <v>0.0375</v>
      </c>
      <c r="D13" s="18" t="n">
        <f aca="false">C13*B6</f>
        <v>0.375</v>
      </c>
      <c r="E13" s="7" t="s">
        <v>87</v>
      </c>
    </row>
    <row r="14" customFormat="false" ht="19.5" hidden="false" customHeight="true" outlineLevel="0" collapsed="false">
      <c r="A14" s="5" t="s">
        <v>88</v>
      </c>
      <c r="B14" s="18" t="n">
        <f aca="false">'⚙ Rates &amp; Assumptions'!B21</f>
        <v>0.25</v>
      </c>
      <c r="C14" s="18" t="n">
        <f aca="false">B14*B10*B8</f>
        <v>0</v>
      </c>
      <c r="D14" s="18" t="n">
        <f aca="false">C14*B6</f>
        <v>0</v>
      </c>
      <c r="E14" s="7" t="s">
        <v>89</v>
      </c>
    </row>
    <row r="15" customFormat="false" ht="15" hidden="false" customHeight="true" outlineLevel="0" collapsed="false">
      <c r="A15" s="5" t="s">
        <v>90</v>
      </c>
      <c r="B15" s="18" t="n">
        <f aca="false">'⚙ Rates &amp; Assumptions'!B22</f>
        <v>0.7</v>
      </c>
      <c r="C15" s="18" t="n">
        <f aca="false">B15*B10</f>
        <v>0.175</v>
      </c>
      <c r="D15" s="18" t="n">
        <f aca="false">C15*B6</f>
        <v>1.75</v>
      </c>
      <c r="E15" s="7" t="s">
        <v>91</v>
      </c>
    </row>
    <row r="16" customFormat="false" ht="15" hidden="false" customHeight="true" outlineLevel="0" collapsed="false">
      <c r="A16" s="5" t="s">
        <v>92</v>
      </c>
      <c r="B16" s="18" t="n">
        <f aca="false">'⚙ Rates &amp; Assumptions'!B5</f>
        <v>25</v>
      </c>
      <c r="C16" s="19" t="n">
        <f aca="false">'⚙ Rates &amp; Assumptions'!B8/60*'⚙ Rates &amp; Assumptions'!B5</f>
        <v>1.25</v>
      </c>
      <c r="D16" s="18" t="n">
        <f aca="false">C16*B6</f>
        <v>12.5</v>
      </c>
      <c r="E16" s="7" t="s">
        <v>93</v>
      </c>
    </row>
    <row r="17" customFormat="false" ht="15" hidden="false" customHeight="true" outlineLevel="0" collapsed="false">
      <c r="A17" s="5" t="s">
        <v>94</v>
      </c>
      <c r="B17" s="18" t="n">
        <f aca="false">'⚙ Rates &amp; Assumptions'!B5</f>
        <v>25</v>
      </c>
      <c r="C17" s="19" t="n">
        <f aca="false">IF(B7=1,'⚙ Rates &amp; Assumptions'!B10,'⚙ Rates &amp; Assumptions'!B9)/60*'⚙ Rates &amp; Assumptions'!B5</f>
        <v>2.08333333333333</v>
      </c>
      <c r="D17" s="18" t="n">
        <f aca="false">C17*B6</f>
        <v>20.8333333333333</v>
      </c>
      <c r="E17" s="7" t="s">
        <v>95</v>
      </c>
    </row>
    <row r="18" customFormat="false" ht="19.5" hidden="false" customHeight="true" outlineLevel="0" collapsed="false">
      <c r="A18" s="5" t="s">
        <v>96</v>
      </c>
      <c r="B18" s="18" t="n">
        <f aca="false">'⚙ Rates &amp; Assumptions'!B5</f>
        <v>25</v>
      </c>
      <c r="C18" s="19" t="n">
        <f aca="false">'⚙ Rates &amp; Assumptions'!B12/60*'⚙ Rates &amp; Assumptions'!B5</f>
        <v>1.25</v>
      </c>
      <c r="D18" s="18" t="n">
        <f aca="false">C18*B6</f>
        <v>12.5</v>
      </c>
      <c r="E18" s="7" t="s">
        <v>97</v>
      </c>
    </row>
    <row r="19" customFormat="false" ht="19.5" hidden="false" customHeight="true" outlineLevel="0" collapsed="false">
      <c r="A19" s="5" t="s">
        <v>98</v>
      </c>
      <c r="B19" s="18" t="n">
        <f aca="false">'⚙ Rates &amp; Assumptions'!B5</f>
        <v>25</v>
      </c>
      <c r="C19" s="19" t="n">
        <f aca="false">IF(B9=1,'⚙ Rates &amp; Assumptions'!B6/60*'⚙ Rates &amp; Assumptions'!B5,0)</f>
        <v>8.33333333333333</v>
      </c>
      <c r="D19" s="18" t="n">
        <f aca="false">C19</f>
        <v>8.33333333333333</v>
      </c>
      <c r="E19" s="7" t="s">
        <v>99</v>
      </c>
    </row>
    <row r="20" customFormat="false" ht="15" hidden="false" customHeight="true" outlineLevel="0" collapsed="false">
      <c r="A20" s="5" t="s">
        <v>100</v>
      </c>
      <c r="B20" s="18" t="n">
        <f aca="false">'⚙ Rates &amp; Assumptions'!B5</f>
        <v>25</v>
      </c>
      <c r="C20" s="19" t="n">
        <f aca="false">'⚙ Rates &amp; Assumptions'!B13/60*'⚙ Rates &amp; Assumptions'!B5</f>
        <v>4.16666666666667</v>
      </c>
      <c r="D20" s="18" t="n">
        <f aca="false">C20</f>
        <v>4.16666666666667</v>
      </c>
      <c r="E20" s="7" t="s">
        <v>101</v>
      </c>
    </row>
    <row r="22" customFormat="false" ht="15" hidden="false" customHeight="true" outlineLevel="0" collapsed="false">
      <c r="A22" s="4" t="s">
        <v>102</v>
      </c>
      <c r="B22" s="4"/>
      <c r="C22" s="4"/>
      <c r="D22" s="4"/>
      <c r="E22" s="4"/>
    </row>
    <row r="23" customFormat="false" ht="19.5" hidden="false" customHeight="true" outlineLevel="0" collapsed="false">
      <c r="A23" s="20" t="s">
        <v>103</v>
      </c>
      <c r="D23" s="21" t="n">
        <f aca="false">SUM(D13:D20)</f>
        <v>60.4583333333333</v>
      </c>
    </row>
    <row r="24" customFormat="false" ht="15" hidden="false" customHeight="true" outlineLevel="0" collapsed="false">
      <c r="A24" s="20" t="s">
        <v>104</v>
      </c>
      <c r="C24" s="21" t="n">
        <f aca="false">D23/B6</f>
        <v>6.04583333333333</v>
      </c>
    </row>
    <row r="25" customFormat="false" ht="19.5" hidden="false" customHeight="true" outlineLevel="0" collapsed="false">
      <c r="A25" s="8" t="s">
        <v>105</v>
      </c>
      <c r="C25" s="22" t="n">
        <f aca="false">C24*2</f>
        <v>12.0916666666667</v>
      </c>
    </row>
    <row r="26" customFormat="false" ht="19.5" hidden="false" customHeight="true" outlineLevel="0" collapsed="false">
      <c r="A26" s="8" t="s">
        <v>106</v>
      </c>
      <c r="C26" s="22" t="n">
        <f aca="false">C24*2.5</f>
        <v>15.1145833333333</v>
      </c>
    </row>
    <row r="27" customFormat="false" ht="19.5" hidden="false" customHeight="true" outlineLevel="0" collapsed="false">
      <c r="A27" s="20" t="s">
        <v>107</v>
      </c>
      <c r="D27" s="23" t="n">
        <f aca="false">D23*2</f>
        <v>120.916666666667</v>
      </c>
    </row>
    <row r="28" customFormat="false" ht="15" hidden="false" customHeight="true" outlineLevel="0" collapsed="false">
      <c r="A28" s="5" t="s">
        <v>108</v>
      </c>
      <c r="D28" s="24" t="n">
        <f aca="false">D27-D23</f>
        <v>60.4583333333333</v>
      </c>
    </row>
    <row r="29" customFormat="false" ht="19.5" hidden="false" customHeight="true" outlineLevel="0" collapsed="false">
      <c r="A29" s="5" t="s">
        <v>109</v>
      </c>
      <c r="D29" s="25" t="n">
        <f aca="false">D28/D27</f>
        <v>0.5</v>
      </c>
    </row>
  </sheetData>
  <mergeCells count="5">
    <mergeCell ref="A1:E1"/>
    <mergeCell ref="A2:E2"/>
    <mergeCell ref="A4:E4"/>
    <mergeCell ref="A11:E11"/>
    <mergeCell ref="A22:E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8860B"/>
    <pageSetUpPr fitToPage="false"/>
  </sheetPr>
  <dimension ref="A1:E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4" min="2" style="1" width="20"/>
    <col collapsed="false" customWidth="true" hidden="false" outlineLevel="0" max="5" min="5" style="1" width="38"/>
  </cols>
  <sheetData>
    <row r="1" customFormat="false" ht="19.5" hidden="false" customHeight="true" outlineLevel="0" collapsed="false">
      <c r="A1" s="15" t="s">
        <v>110</v>
      </c>
      <c r="B1" s="15"/>
      <c r="C1" s="15"/>
      <c r="D1" s="15"/>
      <c r="E1" s="15"/>
    </row>
    <row r="2" customFormat="false" ht="30" hidden="false" customHeight="true" outlineLevel="0" collapsed="false">
      <c r="A2" s="3" t="s">
        <v>111</v>
      </c>
      <c r="B2" s="3"/>
      <c r="C2" s="3"/>
      <c r="D2" s="3"/>
      <c r="E2" s="3"/>
    </row>
    <row r="4" customFormat="false" ht="15" hidden="false" customHeight="true" outlineLevel="0" collapsed="false">
      <c r="A4" s="10" t="s">
        <v>66</v>
      </c>
      <c r="B4" s="10"/>
      <c r="C4" s="10"/>
      <c r="D4" s="10"/>
      <c r="E4" s="10"/>
    </row>
    <row r="5" customFormat="false" ht="15" hidden="false" customHeight="true" outlineLevel="0" collapsed="false">
      <c r="A5" s="17" t="s">
        <v>112</v>
      </c>
      <c r="B5" s="17" t="s">
        <v>113</v>
      </c>
      <c r="C5" s="17"/>
      <c r="D5" s="17"/>
      <c r="E5" s="17" t="s">
        <v>85</v>
      </c>
    </row>
    <row r="6" customFormat="false" ht="15" hidden="false" customHeight="true" outlineLevel="0" collapsed="false">
      <c r="A6" s="5" t="s">
        <v>114</v>
      </c>
      <c r="B6" s="9" t="n">
        <v>10</v>
      </c>
      <c r="E6" s="7" t="s">
        <v>115</v>
      </c>
    </row>
    <row r="7" customFormat="false" ht="19.5" hidden="false" customHeight="true" outlineLevel="0" collapsed="false">
      <c r="A7" s="5" t="s">
        <v>116</v>
      </c>
      <c r="B7" s="9" t="n">
        <v>1</v>
      </c>
      <c r="E7" s="7" t="s">
        <v>117</v>
      </c>
    </row>
    <row r="8" customFormat="false" ht="19.5" hidden="false" customHeight="true" outlineLevel="0" collapsed="false">
      <c r="A8" s="8" t="s">
        <v>118</v>
      </c>
      <c r="B8" s="9" t="n">
        <v>1</v>
      </c>
      <c r="E8" s="7" t="s">
        <v>119</v>
      </c>
    </row>
    <row r="9" customFormat="false" ht="19.5" hidden="false" customHeight="true" outlineLevel="0" collapsed="false">
      <c r="A9" s="5" t="s">
        <v>120</v>
      </c>
      <c r="B9" s="9" t="n">
        <v>0</v>
      </c>
      <c r="E9" s="7" t="s">
        <v>121</v>
      </c>
    </row>
    <row r="10" customFormat="false" ht="19.5" hidden="false" customHeight="true" outlineLevel="0" collapsed="false">
      <c r="A10" s="8" t="s">
        <v>122</v>
      </c>
      <c r="B10" s="9" t="n">
        <v>0</v>
      </c>
      <c r="E10" s="7" t="s">
        <v>123</v>
      </c>
    </row>
    <row r="11" customFormat="false" ht="19.5" hidden="false" customHeight="true" outlineLevel="0" collapsed="false">
      <c r="A11" s="8" t="s">
        <v>124</v>
      </c>
      <c r="B11" s="9" t="n">
        <v>1</v>
      </c>
      <c r="E11" s="7" t="s">
        <v>125</v>
      </c>
    </row>
    <row r="13" customFormat="false" ht="15" hidden="false" customHeight="true" outlineLevel="0" collapsed="false">
      <c r="A13" s="4" t="s">
        <v>126</v>
      </c>
      <c r="B13" s="4"/>
      <c r="C13" s="4"/>
      <c r="D13" s="4"/>
      <c r="E13" s="4"/>
    </row>
    <row r="14" customFormat="false" ht="15" hidden="false" customHeight="true" outlineLevel="0" collapsed="false">
      <c r="A14" s="17" t="s">
        <v>81</v>
      </c>
      <c r="B14" s="17" t="s">
        <v>82</v>
      </c>
      <c r="C14" s="17" t="s">
        <v>127</v>
      </c>
      <c r="D14" s="17" t="s">
        <v>84</v>
      </c>
      <c r="E14" s="17" t="s">
        <v>85</v>
      </c>
    </row>
    <row r="15" customFormat="false" ht="15" hidden="false" customHeight="true" outlineLevel="0" collapsed="false">
      <c r="A15" s="5" t="s">
        <v>128</v>
      </c>
      <c r="B15" s="19" t="n">
        <f aca="false">IF(B8=1,'⚙ Rates &amp; Assumptions'!B32,IF(B8=2,'⚙ Rates &amp; Assumptions'!B33,'⚙ Rates &amp; Assumptions'!B34))</f>
        <v>1.25</v>
      </c>
      <c r="C15" s="19" t="n">
        <f aca="false">IF(B7=1,B15+'⚙ Rates &amp; Assumptions'!B37,0)</f>
        <v>1.25</v>
      </c>
      <c r="D15" s="18" t="n">
        <f aca="false">C15*B6</f>
        <v>12.5</v>
      </c>
      <c r="E15" s="7" t="s">
        <v>129</v>
      </c>
    </row>
    <row r="16" customFormat="false" ht="15" hidden="false" customHeight="true" outlineLevel="0" collapsed="false">
      <c r="A16" s="5" t="s">
        <v>130</v>
      </c>
      <c r="B16" s="18" t="n">
        <f aca="false">'⚙ Rates &amp; Assumptions'!B20</f>
        <v>0.1</v>
      </c>
      <c r="C16" s="19" t="n">
        <f aca="false">IF(B9=1,'⚙ Rates &amp; Assumptions'!B29,'⚙ Rates &amp; Assumptions'!B28)*B16</f>
        <v>0.75</v>
      </c>
      <c r="D16" s="18" t="n">
        <f aca="false">C16*B6</f>
        <v>7.5</v>
      </c>
      <c r="E16" s="7" t="s">
        <v>131</v>
      </c>
    </row>
    <row r="17" customFormat="false" ht="19.5" hidden="false" customHeight="true" outlineLevel="0" collapsed="false">
      <c r="A17" s="5" t="s">
        <v>132</v>
      </c>
      <c r="B17" s="18" t="n">
        <f aca="false">'⚙ Rates &amp; Assumptions'!B5</f>
        <v>25</v>
      </c>
      <c r="C17" s="19" t="n">
        <f aca="false">IF(B11=1,IF(B10=1,'⚙ Rates &amp; Assumptions'!B7,'⚙ Rates &amp; Assumptions'!B6)/60*'⚙ Rates &amp; Assumptions'!B5,0)</f>
        <v>8.33333333333333</v>
      </c>
      <c r="D17" s="18" t="n">
        <f aca="false">C17</f>
        <v>8.33333333333333</v>
      </c>
      <c r="E17" s="7" t="s">
        <v>133</v>
      </c>
    </row>
    <row r="18" customFormat="false" ht="15" hidden="false" customHeight="true" outlineLevel="0" collapsed="false">
      <c r="A18" s="5" t="s">
        <v>134</v>
      </c>
      <c r="B18" s="18" t="n">
        <f aca="false">'⚙ Rates &amp; Assumptions'!B5</f>
        <v>25</v>
      </c>
      <c r="C18" s="19" t="n">
        <f aca="false">'⚙ Rates &amp; Assumptions'!B11/60*'⚙ Rates &amp; Assumptions'!B5*IF(B9=1,1.5,1)</f>
        <v>3.33333333333333</v>
      </c>
      <c r="D18" s="18" t="n">
        <f aca="false">C18*B6</f>
        <v>33.3333333333333</v>
      </c>
      <c r="E18" s="7" t="s">
        <v>135</v>
      </c>
    </row>
    <row r="19" customFormat="false" ht="15" hidden="false" customHeight="true" outlineLevel="0" collapsed="false">
      <c r="A19" s="5" t="s">
        <v>136</v>
      </c>
      <c r="B19" s="18" t="n">
        <f aca="false">'⚙ Rates &amp; Assumptions'!B5</f>
        <v>25</v>
      </c>
      <c r="C19" s="19" t="n">
        <f aca="false">IF(B10=1,'⚙ Rates &amp; Assumptions'!B10,'⚙ Rates &amp; Assumptions'!B9)/60*'⚙ Rates &amp; Assumptions'!B5</f>
        <v>2.08333333333333</v>
      </c>
      <c r="D19" s="18" t="n">
        <f aca="false">C19*B6</f>
        <v>20.8333333333333</v>
      </c>
      <c r="E19" s="7" t="s">
        <v>137</v>
      </c>
    </row>
    <row r="20" customFormat="false" ht="19.5" hidden="false" customHeight="true" outlineLevel="0" collapsed="false">
      <c r="A20" s="5" t="s">
        <v>138</v>
      </c>
      <c r="B20" s="18" t="n">
        <f aca="false">'⚙ Rates &amp; Assumptions'!B5</f>
        <v>25</v>
      </c>
      <c r="C20" s="19" t="n">
        <f aca="false">'⚙ Rates &amp; Assumptions'!B13/60*'⚙ Rates &amp; Assumptions'!B5</f>
        <v>4.16666666666667</v>
      </c>
      <c r="D20" s="18" t="n">
        <f aca="false">C20</f>
        <v>4.16666666666667</v>
      </c>
      <c r="E20" s="7" t="s">
        <v>139</v>
      </c>
    </row>
    <row r="21" customFormat="false" ht="30" hidden="false" customHeight="true" outlineLevel="0" collapsed="false">
      <c r="A21" s="26" t="s">
        <v>140</v>
      </c>
      <c r="B21" s="26"/>
      <c r="C21" s="26"/>
      <c r="D21" s="26"/>
      <c r="E21" s="26"/>
    </row>
    <row r="23" customFormat="false" ht="15" hidden="false" customHeight="true" outlineLevel="0" collapsed="false">
      <c r="A23" s="4" t="s">
        <v>102</v>
      </c>
      <c r="B23" s="4"/>
      <c r="C23" s="4"/>
      <c r="D23" s="4"/>
      <c r="E23" s="4"/>
    </row>
    <row r="24" customFormat="false" ht="15" hidden="false" customHeight="true" outlineLevel="0" collapsed="false">
      <c r="A24" s="20" t="s">
        <v>141</v>
      </c>
      <c r="D24" s="21" t="n">
        <f aca="false">SUM(D15:D20)</f>
        <v>86.6666666666667</v>
      </c>
    </row>
    <row r="25" customFormat="false" ht="15" hidden="false" customHeight="true" outlineLevel="0" collapsed="false">
      <c r="A25" s="20" t="s">
        <v>142</v>
      </c>
      <c r="C25" s="21" t="n">
        <f aca="false">D24/B6</f>
        <v>8.66666666666667</v>
      </c>
    </row>
    <row r="26" customFormat="false" ht="26.25" hidden="false" customHeight="true" outlineLevel="0" collapsed="false">
      <c r="A26" s="5" t="s">
        <v>143</v>
      </c>
      <c r="B26" s="27" t="str">
        <f aca="false">IF(B7=1,"You Supply Garments","Customer Supplies Garment (CSG)")</f>
        <v>You Supply Garments</v>
      </c>
    </row>
    <row r="27" customFormat="false" ht="19.5" hidden="false" customHeight="true" outlineLevel="0" collapsed="false">
      <c r="A27" s="8" t="s">
        <v>144</v>
      </c>
      <c r="C27" s="22" t="n">
        <f aca="false">C25*2</f>
        <v>17.3333333333333</v>
      </c>
    </row>
    <row r="28" customFormat="false" ht="19.5" hidden="false" customHeight="true" outlineLevel="0" collapsed="false">
      <c r="A28" s="8" t="s">
        <v>145</v>
      </c>
      <c r="C28" s="22" t="n">
        <f aca="false">C25*2.5</f>
        <v>21.6666666666667</v>
      </c>
    </row>
    <row r="29" customFormat="false" ht="19.5" hidden="false" customHeight="true" outlineLevel="0" collapsed="false">
      <c r="A29" s="20" t="s">
        <v>107</v>
      </c>
      <c r="D29" s="23" t="n">
        <f aca="false">D24*2</f>
        <v>173.333333333333</v>
      </c>
    </row>
    <row r="30" customFormat="false" ht="15" hidden="false" customHeight="true" outlineLevel="0" collapsed="false">
      <c r="A30" s="5" t="s">
        <v>108</v>
      </c>
      <c r="D30" s="24" t="n">
        <f aca="false">D29-D24</f>
        <v>86.6666666666667</v>
      </c>
    </row>
    <row r="31" customFormat="false" ht="19.5" hidden="false" customHeight="true" outlineLevel="0" collapsed="false">
      <c r="A31" s="5" t="s">
        <v>109</v>
      </c>
      <c r="D31" s="25" t="n">
        <f aca="false">D30/D29</f>
        <v>0.5</v>
      </c>
    </row>
  </sheetData>
  <mergeCells count="6">
    <mergeCell ref="A1:E1"/>
    <mergeCell ref="A2:E2"/>
    <mergeCell ref="A4:E4"/>
    <mergeCell ref="A13:E13"/>
    <mergeCell ref="A21:E21"/>
    <mergeCell ref="A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6633"/>
    <pageSetUpPr fitToPage="false"/>
  </sheetPr>
  <dimension ref="A1: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3" min="2" style="1" width="26"/>
    <col collapsed="false" customWidth="true" hidden="false" outlineLevel="0" max="4" min="4" style="1" width="38"/>
  </cols>
  <sheetData>
    <row r="1" customFormat="false" ht="19.5" hidden="false" customHeight="true" outlineLevel="0" collapsed="false">
      <c r="A1" s="15" t="s">
        <v>146</v>
      </c>
      <c r="B1" s="15"/>
      <c r="C1" s="15"/>
      <c r="D1" s="15"/>
    </row>
    <row r="2" customFormat="false" ht="30" hidden="false" customHeight="true" outlineLevel="0" collapsed="false">
      <c r="A2" s="3" t="s">
        <v>147</v>
      </c>
      <c r="B2" s="3"/>
      <c r="C2" s="3"/>
      <c r="D2" s="3"/>
    </row>
    <row r="4" customFormat="false" ht="15" hidden="false" customHeight="true" outlineLevel="0" collapsed="false">
      <c r="A4" s="10" t="s">
        <v>148</v>
      </c>
      <c r="B4" s="10"/>
      <c r="C4" s="10"/>
      <c r="D4" s="10"/>
    </row>
    <row r="5" customFormat="false" ht="15" hidden="false" customHeight="true" outlineLevel="0" collapsed="false">
      <c r="A5" s="17" t="s">
        <v>149</v>
      </c>
      <c r="B5" s="17" t="s">
        <v>150</v>
      </c>
      <c r="C5" s="17" t="s">
        <v>151</v>
      </c>
      <c r="D5" s="17" t="s">
        <v>85</v>
      </c>
    </row>
    <row r="6" customFormat="false" ht="15" hidden="false" customHeight="true" outlineLevel="0" collapsed="false">
      <c r="A6" s="28" t="s">
        <v>152</v>
      </c>
      <c r="B6" s="28" t="s">
        <v>153</v>
      </c>
      <c r="C6" s="28" t="s">
        <v>154</v>
      </c>
      <c r="D6" s="28" t="s">
        <v>155</v>
      </c>
    </row>
    <row r="7" customFormat="false" ht="15" hidden="false" customHeight="true" outlineLevel="0" collapsed="false">
      <c r="A7" s="29" t="s">
        <v>156</v>
      </c>
      <c r="B7" s="29" t="s">
        <v>157</v>
      </c>
      <c r="C7" s="29" t="s">
        <v>158</v>
      </c>
      <c r="D7" s="29"/>
    </row>
    <row r="8" customFormat="false" ht="15" hidden="false" customHeight="true" outlineLevel="0" collapsed="false">
      <c r="A8" s="28" t="s">
        <v>159</v>
      </c>
      <c r="B8" s="28" t="s">
        <v>160</v>
      </c>
      <c r="C8" s="28" t="s">
        <v>161</v>
      </c>
      <c r="D8" s="28"/>
    </row>
    <row r="9" customFormat="false" ht="15" hidden="false" customHeight="true" outlineLevel="0" collapsed="false">
      <c r="A9" s="29" t="s">
        <v>162</v>
      </c>
      <c r="B9" s="29" t="s">
        <v>163</v>
      </c>
      <c r="C9" s="29" t="s">
        <v>163</v>
      </c>
      <c r="D9" s="29" t="s">
        <v>164</v>
      </c>
    </row>
    <row r="10" customFormat="false" ht="15" hidden="false" customHeight="true" outlineLevel="0" collapsed="false">
      <c r="A10" s="28" t="s">
        <v>165</v>
      </c>
      <c r="B10" s="28" t="s">
        <v>166</v>
      </c>
      <c r="C10" s="28" t="s">
        <v>166</v>
      </c>
      <c r="D10" s="28" t="s">
        <v>167</v>
      </c>
    </row>
    <row r="11" customFormat="false" ht="15" hidden="false" customHeight="true" outlineLevel="0" collapsed="false">
      <c r="A11" s="29" t="s">
        <v>168</v>
      </c>
      <c r="B11" s="29" t="s">
        <v>169</v>
      </c>
      <c r="C11" s="29" t="s">
        <v>169</v>
      </c>
      <c r="D11" s="29" t="s">
        <v>170</v>
      </c>
    </row>
    <row r="14" customFormat="false" ht="19.5" hidden="false" customHeight="true" outlineLevel="0" collapsed="false">
      <c r="A14" s="11" t="s">
        <v>171</v>
      </c>
      <c r="B14" s="11"/>
      <c r="C14" s="11"/>
      <c r="D14" s="11"/>
    </row>
    <row r="15" customFormat="false" ht="15" hidden="false" customHeight="true" outlineLevel="0" collapsed="false">
      <c r="A15" s="17" t="s">
        <v>172</v>
      </c>
      <c r="B15" s="17" t="s">
        <v>173</v>
      </c>
      <c r="C15" s="17" t="s">
        <v>174</v>
      </c>
      <c r="D15" s="17" t="s">
        <v>85</v>
      </c>
    </row>
    <row r="16" customFormat="false" ht="15" hidden="false" customHeight="true" outlineLevel="0" collapsed="false">
      <c r="A16" s="28" t="s">
        <v>175</v>
      </c>
      <c r="B16" s="28" t="s">
        <v>176</v>
      </c>
      <c r="C16" s="28" t="s">
        <v>177</v>
      </c>
      <c r="D16" s="28" t="s">
        <v>178</v>
      </c>
    </row>
    <row r="17" customFormat="false" ht="15" hidden="false" customHeight="true" outlineLevel="0" collapsed="false">
      <c r="A17" s="29" t="s">
        <v>179</v>
      </c>
      <c r="B17" s="29" t="s">
        <v>180</v>
      </c>
      <c r="C17" s="29" t="s">
        <v>181</v>
      </c>
      <c r="D17" s="29" t="s">
        <v>182</v>
      </c>
    </row>
    <row r="18" customFormat="false" ht="15" hidden="false" customHeight="true" outlineLevel="0" collapsed="false">
      <c r="A18" s="28" t="s">
        <v>151</v>
      </c>
      <c r="B18" s="28" t="s">
        <v>183</v>
      </c>
      <c r="C18" s="28" t="s">
        <v>184</v>
      </c>
      <c r="D18" s="28" t="s">
        <v>185</v>
      </c>
    </row>
    <row r="19" customFormat="false" ht="15" hidden="false" customHeight="true" outlineLevel="0" collapsed="false">
      <c r="A19" s="29" t="s">
        <v>186</v>
      </c>
      <c r="B19" s="29" t="s">
        <v>187</v>
      </c>
      <c r="C19" s="29" t="s">
        <v>187</v>
      </c>
      <c r="D19" s="29" t="s">
        <v>188</v>
      </c>
    </row>
    <row r="20" customFormat="false" ht="15" hidden="false" customHeight="true" outlineLevel="0" collapsed="false">
      <c r="A20" s="28" t="s">
        <v>189</v>
      </c>
      <c r="B20" s="28" t="s">
        <v>190</v>
      </c>
      <c r="C20" s="28" t="s">
        <v>190</v>
      </c>
      <c r="D20" s="28" t="s">
        <v>191</v>
      </c>
    </row>
    <row r="21" customFormat="false" ht="15" hidden="false" customHeight="true" outlineLevel="0" collapsed="false">
      <c r="A21" s="29" t="s">
        <v>168</v>
      </c>
      <c r="B21" s="29" t="s">
        <v>192</v>
      </c>
      <c r="C21" s="29" t="s">
        <v>192</v>
      </c>
      <c r="D21" s="29" t="s">
        <v>193</v>
      </c>
    </row>
    <row r="24" customFormat="false" ht="19.5" hidden="false" customHeight="true" outlineLevel="0" collapsed="false">
      <c r="A24" s="30" t="s">
        <v>194</v>
      </c>
      <c r="B24" s="30"/>
      <c r="C24" s="30"/>
      <c r="D24" s="30"/>
    </row>
    <row r="25" customFormat="false" ht="15" hidden="false" customHeight="true" outlineLevel="0" collapsed="false">
      <c r="A25" s="17" t="s">
        <v>195</v>
      </c>
      <c r="B25" s="17" t="s">
        <v>196</v>
      </c>
      <c r="C25" s="17"/>
      <c r="D25" s="17" t="s">
        <v>85</v>
      </c>
    </row>
    <row r="26" customFormat="false" ht="19.5" hidden="false" customHeight="true" outlineLevel="0" collapsed="false">
      <c r="A26" s="28" t="s">
        <v>197</v>
      </c>
      <c r="B26" s="28" t="s">
        <v>198</v>
      </c>
      <c r="C26" s="28"/>
      <c r="D26" s="28" t="s">
        <v>199</v>
      </c>
    </row>
    <row r="27" customFormat="false" ht="19.5" hidden="false" customHeight="true" outlineLevel="0" collapsed="false">
      <c r="A27" s="29" t="s">
        <v>200</v>
      </c>
      <c r="B27" s="29" t="s">
        <v>201</v>
      </c>
      <c r="C27" s="29"/>
      <c r="D27" s="29" t="s">
        <v>202</v>
      </c>
    </row>
    <row r="28" customFormat="false" ht="19.5" hidden="false" customHeight="true" outlineLevel="0" collapsed="false">
      <c r="A28" s="28" t="s">
        <v>203</v>
      </c>
      <c r="B28" s="28" t="s">
        <v>204</v>
      </c>
      <c r="C28" s="28"/>
      <c r="D28" s="28" t="s">
        <v>205</v>
      </c>
    </row>
    <row r="29" customFormat="false" ht="26.25" hidden="false" customHeight="true" outlineLevel="0" collapsed="false">
      <c r="A29" s="31" t="s">
        <v>206</v>
      </c>
      <c r="B29" s="29" t="s">
        <v>207</v>
      </c>
      <c r="C29" s="29"/>
      <c r="D29" s="31" t="s">
        <v>208</v>
      </c>
    </row>
    <row r="30" customFormat="false" ht="26.25" hidden="false" customHeight="true" outlineLevel="0" collapsed="false">
      <c r="A30" s="28" t="s">
        <v>209</v>
      </c>
      <c r="B30" s="28" t="s">
        <v>210</v>
      </c>
      <c r="C30" s="28"/>
      <c r="D30" s="31" t="s">
        <v>211</v>
      </c>
    </row>
    <row r="33" customFormat="false" ht="15" hidden="false" customHeight="true" outlineLevel="0" collapsed="false">
      <c r="A33" s="4" t="s">
        <v>212</v>
      </c>
      <c r="B33" s="4"/>
      <c r="C33" s="4"/>
      <c r="D33" s="4"/>
    </row>
    <row r="34" customFormat="false" ht="26.25" hidden="false" customHeight="true" outlineLevel="0" collapsed="false">
      <c r="A34" s="32" t="s">
        <v>213</v>
      </c>
      <c r="B34" s="28" t="s">
        <v>214</v>
      </c>
      <c r="C34" s="28" t="s">
        <v>215</v>
      </c>
    </row>
    <row r="35" customFormat="false" ht="39" hidden="false" customHeight="true" outlineLevel="0" collapsed="false">
      <c r="A35" s="33" t="s">
        <v>216</v>
      </c>
      <c r="B35" s="29" t="s">
        <v>217</v>
      </c>
      <c r="C35" s="29" t="s">
        <v>218</v>
      </c>
    </row>
    <row r="36" customFormat="false" ht="39" hidden="false" customHeight="true" outlineLevel="0" collapsed="false">
      <c r="A36" s="32" t="s">
        <v>219</v>
      </c>
      <c r="B36" s="28" t="s">
        <v>220</v>
      </c>
      <c r="C36" s="28" t="s">
        <v>221</v>
      </c>
    </row>
    <row r="37" customFormat="false" ht="26.25" hidden="false" customHeight="true" outlineLevel="0" collapsed="false">
      <c r="A37" s="33" t="s">
        <v>222</v>
      </c>
      <c r="B37" s="29" t="s">
        <v>223</v>
      </c>
      <c r="C37" s="29" t="s">
        <v>224</v>
      </c>
    </row>
    <row r="38" customFormat="false" ht="26.25" hidden="false" customHeight="true" outlineLevel="0" collapsed="false">
      <c r="A38" s="32" t="s">
        <v>225</v>
      </c>
      <c r="B38" s="28" t="s">
        <v>226</v>
      </c>
      <c r="C38" s="28" t="s">
        <v>227</v>
      </c>
    </row>
    <row r="39" customFormat="false" ht="26.25" hidden="false" customHeight="true" outlineLevel="0" collapsed="false">
      <c r="A39" s="33" t="s">
        <v>228</v>
      </c>
      <c r="B39" s="29" t="s">
        <v>229</v>
      </c>
      <c r="C39" s="29" t="s">
        <v>230</v>
      </c>
    </row>
  </sheetData>
  <mergeCells count="6">
    <mergeCell ref="A1:D1"/>
    <mergeCell ref="A2:D2"/>
    <mergeCell ref="A4:D4"/>
    <mergeCell ref="A14:D14"/>
    <mergeCell ref="A24:D24"/>
    <mergeCell ref="A33:D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2026-02-23T18:14:13Z</dcterms:created>
  <dc:creator>openpyxl</dc:creator>
  <dc:description/>
  <dc:language>en-US</dc:language>
  <cp:lastModifiedBy/>
  <dcterms:modified xsi:type="dcterms:W3CDTF">2026-02-23T18:17:21Z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